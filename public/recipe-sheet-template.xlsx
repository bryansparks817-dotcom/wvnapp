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3"/>
    <sheet name="Ranch Dressing" sheetId="2" state="visible" r:id="rId4"/>
  </sheets>
  <definedNames>
    <definedName function="false" hidden="false" localSheetId="1" name="_xlnm.Print_Area" vbProcedure="false">'Ranch Dressing'!$A$1:$I$57</definedName>
    <definedName function="false" hidden="false" localSheetId="0" name="_xlnm.Print_Area" vbProcedure="false">Template!$A$1:$I$57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<sst xmlns="http://schemas.openxmlformats.org/spreadsheetml/2006/main" count="141" uniqueCount="81">
  <si>
    <t xml:space="preserve">WANDERING VINE</t>
  </si>
  <si>
    <t xml:space="preserve">STANDARD RECIPE</t>
  </si>
  <si>
    <t xml:space="preserve">Recipe</t>
  </si>
  <si>
    <t xml:space="preserve">Date / Rev #</t>
  </si>
  <si>
    <t xml:space="preserve">Category</t>
  </si>
  <si>
    <t xml:space="preserve">Station</t>
  </si>
  <si>
    <t xml:space="preserve">Batch yield</t>
  </si>
  <si>
    <t xml:space="preserve">Shelf life</t>
  </si>
  <si>
    <t xml:space="preserve">Portion size</t>
  </si>
  <si>
    <t xml:space="preserve">Created by</t>
  </si>
  <si>
    <t xml:space="preserve">Storage</t>
  </si>
  <si>
    <t xml:space="preserve">Approved by</t>
  </si>
  <si>
    <t xml:space="preserve">Sub-recipe? (Yes/No)</t>
  </si>
  <si>
    <t xml:space="preserve">No</t>
  </si>
  <si>
    <t xml:space="preserve">Total time (min)</t>
  </si>
  <si>
    <t xml:space="preserve">INGREDIENTS &amp; COST</t>
  </si>
  <si>
    <t xml:space="preserve">#</t>
  </si>
  <si>
    <t xml:space="preserve">Ingredient</t>
  </si>
  <si>
    <t xml:space="preserve">Qty</t>
  </si>
  <si>
    <t xml:space="preserve">Unit</t>
  </si>
  <si>
    <t xml:space="preserve">g per cup / each</t>
  </si>
  <si>
    <t xml:space="preserve">Prep / Notes</t>
  </si>
  <si>
    <t xml:space="preserve">$ / Unit</t>
  </si>
  <si>
    <t xml:space="preserve">Yield %</t>
  </si>
  <si>
    <t xml:space="preserve">Cost</t>
  </si>
  <si>
    <t xml:space="preserve">ALLERGENS (mark X)</t>
  </si>
  <si>
    <t xml:space="preserve">Ingredient total</t>
  </si>
  <si>
    <t xml:space="preserve">[ ] Dairy   [ ] Egg   [ ] Wheat/Gluten</t>
  </si>
  <si>
    <t xml:space="preserve">Q factor (spices, oil, waste) %</t>
  </si>
  <si>
    <t xml:space="preserve">[ ] Soy   [ ] Peanut   [ ] Tree nut</t>
  </si>
  <si>
    <t xml:space="preserve">Total batch cost</t>
  </si>
  <si>
    <t xml:space="preserve">[ ] Fish   [ ] Shellfish   [ ] Sesame</t>
  </si>
  <si>
    <t xml:space="preserve">Number of portions</t>
  </si>
  <si>
    <t xml:space="preserve">Notes: </t>
  </si>
  <si>
    <t xml:space="preserve">Cost per portion</t>
  </si>
  <si>
    <t xml:space="preserve">Menu price (if sold as item)</t>
  </si>
  <si>
    <t xml:space="preserve">Food cost %</t>
  </si>
  <si>
    <t xml:space="preserve">METHOD</t>
  </si>
  <si>
    <t xml:space="preserve">Step</t>
  </si>
  <si>
    <t xml:space="preserve">Active / Passive</t>
  </si>
  <si>
    <t xml:space="preserve">Minutes</t>
  </si>
  <si>
    <t xml:space="preserve">PLATING / HOLDING / FOOD SAFETY</t>
  </si>
  <si>
    <t xml:space="preserve">Ranch Dressing</t>
  </si>
  <si>
    <t xml:space="preserve">Rev 1</t>
  </si>
  <si>
    <t xml:space="preserve">Sauce / Dressing</t>
  </si>
  <si>
    <t xml:space="preserve">Garde manger</t>
  </si>
  <si>
    <t xml:space="preserve">~1 gal (approx.)</t>
  </si>
  <si>
    <t xml:space="preserve">5 days</t>
  </si>
  <si>
    <t xml:space="preserve">Labeled deli, walk-in, 41°F or below</t>
  </si>
  <si>
    <t xml:space="preserve">Yes</t>
  </si>
  <si>
    <t xml:space="preserve">Sour cream</t>
  </si>
  <si>
    <t xml:space="preserve">oz</t>
  </si>
  <si>
    <t xml:space="preserve">Mayonnaise</t>
  </si>
  <si>
    <t xml:space="preserve">Buttermilk</t>
  </si>
  <si>
    <t xml:space="preserve">Roasted garlic</t>
  </si>
  <si>
    <t xml:space="preserve">tbsp</t>
  </si>
  <si>
    <t xml:space="preserve">mashed to paste</t>
  </si>
  <si>
    <t xml:space="preserve">Lemon</t>
  </si>
  <si>
    <t xml:space="preserve">ea</t>
  </si>
  <si>
    <t xml:space="preserve">juiced</t>
  </si>
  <si>
    <t xml:space="preserve">Dill</t>
  </si>
  <si>
    <t xml:space="preserve">chopped</t>
  </si>
  <si>
    <t xml:space="preserve">Tarragon</t>
  </si>
  <si>
    <t xml:space="preserve">Parsley</t>
  </si>
  <si>
    <t xml:space="preserve">Basil</t>
  </si>
  <si>
    <t xml:space="preserve">Celery salt</t>
  </si>
  <si>
    <t xml:space="preserve">Mint</t>
  </si>
  <si>
    <t xml:space="preserve">[X] Dairy   [X] Egg   [ ] Wheat/Gluten</t>
  </si>
  <si>
    <t xml:space="preserve">Notes: From the 2019 food cost form. Add your current $/unit from invoices; $/unit must be in the same unit as Qty. Grams per cup are estimates.</t>
  </si>
  <si>
    <t xml:space="preserve">Trim garlic heads, oil and wrap in foil.</t>
  </si>
  <si>
    <t xml:space="preserve">Active</t>
  </si>
  <si>
    <t xml:space="preserve">Roast garlic at 400°F until soft; cool.</t>
  </si>
  <si>
    <t xml:space="preserve">Passive</t>
  </si>
  <si>
    <t xml:space="preserve">Juice lemons and strain out seeds.</t>
  </si>
  <si>
    <t xml:space="preserve">Pick and finely chop dill, tarragon, parsley, basil and mint.</t>
  </si>
  <si>
    <t xml:space="preserve">Squeeze out garlic and mash to a smooth paste.</t>
  </si>
  <si>
    <t xml:space="preserve">Whisk sour cream, mayo and buttermilk until smooth.</t>
  </si>
  <si>
    <t xml:space="preserve">Whisk in garlic, lemon juice and celery salt; fold in herbs.</t>
  </si>
  <si>
    <t xml:space="preserve">Taste and adjust. Chill at least 1 hour before service.</t>
  </si>
  <si>
    <t xml:space="preserve">Transfer to labeled, dated container.</t>
  </si>
  <si>
    <t xml:space="preserve">Hold cold at 41°F or below. Stir before portioning.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</si>
</sst>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%"/>
    <numFmt numFmtId="167" formatCode="\$#,##0.00;&quot;-$&quot;#,##0.00;\-"/>
    <numFmt numFmtId="168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  <font>
      <b val="true"/>
      <sz val="11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6ECE3"/>
        <bgColor rgb="FFFFF8DC"/>
      </patternFill>
    </fill>
    <fill>
      <patternFill patternType="solid">
        <fgColor rgb="FFFFF8DC"/>
        <bgColor rgb="FFFFFFFF"/>
      </patternFill>
    </fill>
    <fill>
      <patternFill patternType="solid">
        <fgColor rgb="FF2F3B2F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6EC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B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3"/>
    <col collapsed="false" customWidth="true" hidden="false" outlineLevel="0" max="4" min="3" style="0" width="7"/>
    <col collapsed="false" customWidth="true" hidden="false" outlineLevel="0" max="5" min="5" style="0" width="8"/>
    <col collapsed="false" customWidth="true" hidden="false" outlineLevel="0" max="6" min="6" style="0" width="15"/>
    <col collapsed="false" customWidth="true" hidden="false" outlineLevel="0" max="7" min="7" style="0" width="8"/>
    <col collapsed="false" customWidth="true" hidden="false" outlineLevel="0" max="8" min="8" style="0" width="7"/>
    <col collapsed="false" customWidth="true" hidden="false" outlineLevel="0" max="9" min="9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6.5" hidden="false" customHeight="true" outlineLevel="0" collapsed="false">
      <c r="A4" s="3" t="s">
        <v>2</v>
      </c>
      <c r="B4" s="3"/>
      <c r="C4" s="4"/>
      <c r="D4" s="4"/>
      <c r="E4" s="4"/>
      <c r="F4" s="4"/>
      <c r="G4" s="3" t="s">
        <v>3</v>
      </c>
      <c r="H4" s="3"/>
      <c r="I4" s="5"/>
    </row>
    <row r="5" customFormat="false" ht="16.5" hidden="false" customHeight="true" outlineLevel="0" collapsed="false">
      <c r="A5" s="3" t="s">
        <v>4</v>
      </c>
      <c r="B5" s="3"/>
      <c r="C5" s="5"/>
      <c r="D5" s="5"/>
      <c r="E5" s="5"/>
      <c r="F5" s="5"/>
      <c r="G5" s="3" t="s">
        <v>5</v>
      </c>
      <c r="H5" s="3"/>
      <c r="I5" s="5"/>
    </row>
    <row r="6" customFormat="false" ht="16.5" hidden="false" customHeight="true" outlineLevel="0" collapsed="false">
      <c r="A6" s="3" t="s">
        <v>6</v>
      </c>
      <c r="B6" s="3"/>
      <c r="C6" s="5"/>
      <c r="D6" s="5"/>
      <c r="E6" s="5"/>
      <c r="F6" s="5"/>
      <c r="G6" s="3" t="s">
        <v>7</v>
      </c>
      <c r="H6" s="3"/>
      <c r="I6" s="5"/>
    </row>
    <row r="7" customFormat="false" ht="16.5" hidden="false" customHeight="true" outlineLevel="0" collapsed="false">
      <c r="A7" s="3" t="s">
        <v>8</v>
      </c>
      <c r="B7" s="3"/>
      <c r="C7" s="5"/>
      <c r="D7" s="5"/>
      <c r="E7" s="5"/>
      <c r="F7" s="5"/>
      <c r="G7" s="3" t="s">
        <v>9</v>
      </c>
      <c r="H7" s="3"/>
      <c r="I7" s="5"/>
    </row>
    <row r="8" customFormat="false" ht="16.5" hidden="false" customHeight="true" outlineLevel="0" collapsed="false">
      <c r="A8" s="3" t="s">
        <v>10</v>
      </c>
      <c r="B8" s="3"/>
      <c r="C8" s="5"/>
      <c r="D8" s="5"/>
      <c r="E8" s="5"/>
      <c r="F8" s="5"/>
      <c r="G8" s="3" t="s">
        <v>11</v>
      </c>
      <c r="H8" s="3"/>
      <c r="I8" s="5"/>
    </row>
    <row r="9" customFormat="false" ht="16.5" hidden="false" customHeight="true" outlineLevel="0" collapsed="false">
      <c r="A9" s="3" t="s">
        <v>12</v>
      </c>
      <c r="B9" s="3"/>
      <c r="C9" s="5" t="s">
        <v>13</v>
      </c>
      <c r="D9" s="5"/>
      <c r="E9" s="5"/>
      <c r="F9" s="5"/>
      <c r="G9" s="3" t="s">
        <v>14</v>
      </c>
      <c r="H9" s="3"/>
      <c r="I9" s="6" t="str">
        <f aca="false">IF(SUM(I41:I52)=0,"",SUM(I41:I52))</f>
        <v/>
      </c>
    </row>
    <row r="11" customFormat="false" ht="15.75" hidden="false" customHeight="true" outlineLevel="0" collapsed="false">
      <c r="A11" s="7" t="s">
        <v>15</v>
      </c>
      <c r="B11" s="7"/>
      <c r="C11" s="7"/>
      <c r="D11" s="7"/>
      <c r="E11" s="7"/>
      <c r="F11" s="7"/>
      <c r="G11" s="7"/>
      <c r="H11" s="7"/>
      <c r="I11" s="7"/>
    </row>
    <row r="12" customFormat="false" ht="24" hidden="false" customHeight="true" outlineLevel="0" collapsed="false">
      <c r="A12" s="8" t="s">
        <v>16</v>
      </c>
      <c r="B12" s="8" t="s">
        <v>17</v>
      </c>
      <c r="C12" s="8" t="s">
        <v>18</v>
      </c>
      <c r="D12" s="8" t="s">
        <v>19</v>
      </c>
      <c r="E12" s="8" t="s">
        <v>20</v>
      </c>
      <c r="F12" s="8" t="s">
        <v>21</v>
      </c>
      <c r="G12" s="8" t="s">
        <v>22</v>
      </c>
      <c r="H12" s="8" t="s">
        <v>23</v>
      </c>
      <c r="I12" s="8" t="s">
        <v>24</v>
      </c>
    </row>
    <row r="13" customFormat="false" ht="15.75" hidden="false" customHeight="true" outlineLevel="0" collapsed="false">
      <c r="A13" s="9" t="n">
        <v>1</v>
      </c>
      <c r="B13" s="5"/>
      <c r="C13" s="10"/>
      <c r="D13" s="10"/>
      <c r="E13" s="10"/>
      <c r="F13" s="5"/>
      <c r="G13" s="11"/>
      <c r="H13" s="12"/>
      <c r="I13" s="13" t="str">
        <f aca="false">IF(OR(C13="",G13=""),"",C13*G13/IF(H13="",1,H13))</f>
        <v/>
      </c>
    </row>
    <row r="14" customFormat="false" ht="15.75" hidden="false" customHeight="true" outlineLevel="0" collapsed="false">
      <c r="A14" s="9" t="n">
        <v>2</v>
      </c>
      <c r="B14" s="5"/>
      <c r="C14" s="10"/>
      <c r="D14" s="10"/>
      <c r="E14" s="10"/>
      <c r="F14" s="5"/>
      <c r="G14" s="11"/>
      <c r="H14" s="12"/>
      <c r="I14" s="13" t="str">
        <f aca="false">IF(OR(C14="",G14=""),"",C14*G14/IF(H14="",1,H14))</f>
        <v/>
      </c>
    </row>
    <row r="15" customFormat="false" ht="15.75" hidden="false" customHeight="true" outlineLevel="0" collapsed="false">
      <c r="A15" s="9" t="n">
        <v>3</v>
      </c>
      <c r="B15" s="5"/>
      <c r="C15" s="10"/>
      <c r="D15" s="10"/>
      <c r="E15" s="10"/>
      <c r="F15" s="5"/>
      <c r="G15" s="11"/>
      <c r="H15" s="12"/>
      <c r="I15" s="13" t="str">
        <f aca="false">IF(OR(C15="",G15=""),"",C15*G15/IF(H15="",1,H15))</f>
        <v/>
      </c>
    </row>
    <row r="16" customFormat="false" ht="15.75" hidden="false" customHeight="true" outlineLevel="0" collapsed="false">
      <c r="A16" s="9" t="n">
        <v>4</v>
      </c>
      <c r="B16" s="5"/>
      <c r="C16" s="10"/>
      <c r="D16" s="10"/>
      <c r="E16" s="10"/>
      <c r="F16" s="5"/>
      <c r="G16" s="11"/>
      <c r="H16" s="12"/>
      <c r="I16" s="13" t="str">
        <f aca="false">IF(OR(C16="",G16=""),"",C16*G16/IF(H16="",1,H16))</f>
        <v/>
      </c>
    </row>
    <row r="17" customFormat="false" ht="15.75" hidden="false" customHeight="true" outlineLevel="0" collapsed="false">
      <c r="A17" s="9" t="n">
        <v>5</v>
      </c>
      <c r="B17" s="5"/>
      <c r="C17" s="10"/>
      <c r="D17" s="10"/>
      <c r="E17" s="10"/>
      <c r="F17" s="5"/>
      <c r="G17" s="11"/>
      <c r="H17" s="12"/>
      <c r="I17" s="13" t="str">
        <f aca="false">IF(OR(C17="",G17=""),"",C17*G17/IF(H17="",1,H17))</f>
        <v/>
      </c>
    </row>
    <row r="18" customFormat="false" ht="15.75" hidden="false" customHeight="true" outlineLevel="0" collapsed="false">
      <c r="A18" s="9" t="n">
        <v>6</v>
      </c>
      <c r="B18" s="5"/>
      <c r="C18" s="10"/>
      <c r="D18" s="10"/>
      <c r="E18" s="10"/>
      <c r="F18" s="5"/>
      <c r="G18" s="11"/>
      <c r="H18" s="12"/>
      <c r="I18" s="13" t="str">
        <f aca="false">IF(OR(C18="",G18=""),"",C18*G18/IF(H18="",1,H18))</f>
        <v/>
      </c>
    </row>
    <row r="19" customFormat="false" ht="15.75" hidden="false" customHeight="true" outlineLevel="0" collapsed="false">
      <c r="A19" s="9" t="n">
        <v>7</v>
      </c>
      <c r="B19" s="5"/>
      <c r="C19" s="10"/>
      <c r="D19" s="10"/>
      <c r="E19" s="10"/>
      <c r="F19" s="5"/>
      <c r="G19" s="11"/>
      <c r="H19" s="12"/>
      <c r="I19" s="13" t="str">
        <f aca="false">IF(OR(C19="",G19=""),"",C19*G19/IF(H19="",1,H19))</f>
        <v/>
      </c>
    </row>
    <row r="20" customFormat="false" ht="15.75" hidden="false" customHeight="true" outlineLevel="0" collapsed="false">
      <c r="A20" s="9" t="n">
        <v>8</v>
      </c>
      <c r="B20" s="5"/>
      <c r="C20" s="10"/>
      <c r="D20" s="10"/>
      <c r="E20" s="10"/>
      <c r="F20" s="5"/>
      <c r="G20" s="11"/>
      <c r="H20" s="12"/>
      <c r="I20" s="13" t="str">
        <f aca="false">IF(OR(C20="",G20=""),"",C20*G20/IF(H20="",1,H20))</f>
        <v/>
      </c>
    </row>
    <row r="21" customFormat="false" ht="15.75" hidden="false" customHeight="true" outlineLevel="0" collapsed="false">
      <c r="A21" s="9" t="n">
        <v>9</v>
      </c>
      <c r="B21" s="5"/>
      <c r="C21" s="10"/>
      <c r="D21" s="10"/>
      <c r="E21" s="10"/>
      <c r="F21" s="5"/>
      <c r="G21" s="11"/>
      <c r="H21" s="12"/>
      <c r="I21" s="13" t="str">
        <f aca="false">IF(OR(C21="",G21=""),"",C21*G21/IF(H21="",1,H21))</f>
        <v/>
      </c>
    </row>
    <row r="22" customFormat="false" ht="15.75" hidden="false" customHeight="true" outlineLevel="0" collapsed="false">
      <c r="A22" s="9" t="n">
        <v>10</v>
      </c>
      <c r="B22" s="5"/>
      <c r="C22" s="10"/>
      <c r="D22" s="10"/>
      <c r="E22" s="10"/>
      <c r="F22" s="5"/>
      <c r="G22" s="11"/>
      <c r="H22" s="12"/>
      <c r="I22" s="13" t="str">
        <f aca="false">IF(OR(C22="",G22=""),"",C22*G22/IF(H22="",1,H22))</f>
        <v/>
      </c>
    </row>
    <row r="23" customFormat="false" ht="15.75" hidden="false" customHeight="true" outlineLevel="0" collapsed="false">
      <c r="A23" s="9" t="n">
        <v>11</v>
      </c>
      <c r="B23" s="5"/>
      <c r="C23" s="10"/>
      <c r="D23" s="10"/>
      <c r="E23" s="10"/>
      <c r="F23" s="5"/>
      <c r="G23" s="11"/>
      <c r="H23" s="12"/>
      <c r="I23" s="13" t="str">
        <f aca="false">IF(OR(C23="",G23=""),"",C23*G23/IF(H23="",1,H23))</f>
        <v/>
      </c>
    </row>
    <row r="24" customFormat="false" ht="15.75" hidden="false" customHeight="true" outlineLevel="0" collapsed="false">
      <c r="A24" s="9" t="n">
        <v>12</v>
      </c>
      <c r="B24" s="5"/>
      <c r="C24" s="10"/>
      <c r="D24" s="10"/>
      <c r="E24" s="10"/>
      <c r="F24" s="5"/>
      <c r="G24" s="11"/>
      <c r="H24" s="12"/>
      <c r="I24" s="13" t="str">
        <f aca="false">IF(OR(C24="",G24=""),"",C24*G24/IF(H24="",1,H24))</f>
        <v/>
      </c>
    </row>
    <row r="25" customFormat="false" ht="15.75" hidden="false" customHeight="true" outlineLevel="0" collapsed="false">
      <c r="A25" s="9" t="n">
        <v>13</v>
      </c>
      <c r="B25" s="5"/>
      <c r="C25" s="10"/>
      <c r="D25" s="10"/>
      <c r="E25" s="10"/>
      <c r="F25" s="5"/>
      <c r="G25" s="11"/>
      <c r="H25" s="12"/>
      <c r="I25" s="13" t="str">
        <f aca="false">IF(OR(C25="",G25=""),"",C25*G25/IF(H25="",1,H25))</f>
        <v/>
      </c>
    </row>
    <row r="26" customFormat="false" ht="15.75" hidden="false" customHeight="true" outlineLevel="0" collapsed="false">
      <c r="A26" s="9" t="n">
        <v>14</v>
      </c>
      <c r="B26" s="5"/>
      <c r="C26" s="10"/>
      <c r="D26" s="10"/>
      <c r="E26" s="10"/>
      <c r="F26" s="5"/>
      <c r="G26" s="11"/>
      <c r="H26" s="12"/>
      <c r="I26" s="13" t="str">
        <f aca="false">IF(OR(C26="",G26=""),"",C26*G26/IF(H26="",1,H26))</f>
        <v/>
      </c>
    </row>
    <row r="27" customFormat="false" ht="15.75" hidden="false" customHeight="true" outlineLevel="0" collapsed="false">
      <c r="A27" s="9" t="n">
        <v>15</v>
      </c>
      <c r="B27" s="5"/>
      <c r="C27" s="10"/>
      <c r="D27" s="10"/>
      <c r="E27" s="10"/>
      <c r="F27" s="5"/>
      <c r="G27" s="11"/>
      <c r="H27" s="12"/>
      <c r="I27" s="13" t="str">
        <f aca="false">IF(OR(C27="",G27=""),"",C27*G27/IF(H27="",1,H27))</f>
        <v/>
      </c>
    </row>
    <row r="28" customFormat="false" ht="15.75" hidden="false" customHeight="true" outlineLevel="0" collapsed="false">
      <c r="A28" s="9" t="n">
        <v>16</v>
      </c>
      <c r="B28" s="5"/>
      <c r="C28" s="10"/>
      <c r="D28" s="10"/>
      <c r="E28" s="10"/>
      <c r="F28" s="5"/>
      <c r="G28" s="11"/>
      <c r="H28" s="12"/>
      <c r="I28" s="13" t="str">
        <f aca="false">IF(OR(C28="",G28=""),"",C28*G28/IF(H28="",1,H28))</f>
        <v/>
      </c>
    </row>
    <row r="29" customFormat="false" ht="15.75" hidden="false" customHeight="true" outlineLevel="0" collapsed="false">
      <c r="A29" s="9" t="n">
        <v>17</v>
      </c>
      <c r="B29" s="5"/>
      <c r="C29" s="10"/>
      <c r="D29" s="10"/>
      <c r="E29" s="10"/>
      <c r="F29" s="5"/>
      <c r="G29" s="11"/>
      <c r="H29" s="12"/>
      <c r="I29" s="13" t="str">
        <f aca="false">IF(OR(C29="",G29=""),"",C29*G29/IF(H29="",1,H29))</f>
        <v/>
      </c>
    </row>
    <row r="30" customFormat="false" ht="15.75" hidden="false" customHeight="true" outlineLevel="0" collapsed="false">
      <c r="A30" s="9" t="n">
        <v>18</v>
      </c>
      <c r="B30" s="5"/>
      <c r="C30" s="10"/>
      <c r="D30" s="10"/>
      <c r="E30" s="10"/>
      <c r="F30" s="5"/>
      <c r="G30" s="11"/>
      <c r="H30" s="12"/>
      <c r="I30" s="13" t="str">
        <f aca="false">IF(OR(C30="",G30=""),"",C30*G30/IF(H30="",1,H30))</f>
        <v/>
      </c>
    </row>
    <row r="31" customFormat="false" ht="15" hidden="false" customHeight="false" outlineLevel="0" collapsed="false">
      <c r="A31" s="14" t="s">
        <v>25</v>
      </c>
      <c r="B31" s="14"/>
      <c r="C31" s="14"/>
      <c r="D31" s="14"/>
      <c r="E31" s="14"/>
      <c r="F31" s="15" t="s">
        <v>26</v>
      </c>
      <c r="G31" s="15"/>
      <c r="H31" s="15"/>
      <c r="I31" s="16" t="n">
        <f aca="false">SUM(I13:I30)</f>
        <v>0</v>
      </c>
    </row>
    <row r="32" customFormat="false" ht="15" hidden="false" customHeight="false" outlineLevel="0" collapsed="false">
      <c r="A32" s="17" t="s">
        <v>27</v>
      </c>
      <c r="B32" s="17"/>
      <c r="C32" s="17"/>
      <c r="D32" s="17"/>
      <c r="E32" s="17"/>
      <c r="F32" s="15" t="s">
        <v>28</v>
      </c>
      <c r="G32" s="15"/>
      <c r="H32" s="15"/>
      <c r="I32" s="18" t="n">
        <v>0.05</v>
      </c>
    </row>
    <row r="33" customFormat="false" ht="15" hidden="false" customHeight="false" outlineLevel="0" collapsed="false">
      <c r="A33" s="17" t="s">
        <v>29</v>
      </c>
      <c r="B33" s="17"/>
      <c r="C33" s="17"/>
      <c r="D33" s="17"/>
      <c r="E33" s="17"/>
      <c r="F33" s="15" t="s">
        <v>30</v>
      </c>
      <c r="G33" s="15"/>
      <c r="H33" s="15"/>
      <c r="I33" s="16" t="n">
        <f aca="false">I31*(1+I32)</f>
        <v>0</v>
      </c>
    </row>
    <row r="34" customFormat="false" ht="15" hidden="false" customHeight="false" outlineLevel="0" collapsed="false">
      <c r="A34" s="17" t="s">
        <v>31</v>
      </c>
      <c r="B34" s="17"/>
      <c r="C34" s="17"/>
      <c r="D34" s="17"/>
      <c r="E34" s="17"/>
      <c r="F34" s="15" t="s">
        <v>32</v>
      </c>
      <c r="G34" s="15"/>
      <c r="H34" s="15"/>
      <c r="I34" s="19"/>
    </row>
    <row r="35" customFormat="false" ht="15" hidden="false" customHeight="true" outlineLevel="0" collapsed="false">
      <c r="A35" s="20" t="s">
        <v>33</v>
      </c>
      <c r="B35" s="20"/>
      <c r="C35" s="20"/>
      <c r="D35" s="20"/>
      <c r="E35" s="20"/>
      <c r="F35" s="15" t="s">
        <v>34</v>
      </c>
      <c r="G35" s="15"/>
      <c r="H35" s="15"/>
      <c r="I35" s="16" t="str">
        <f aca="false">IF(N(I34)=0,"",I33/I34)</f>
        <v/>
      </c>
    </row>
    <row r="36" customFormat="false" ht="15" hidden="false" customHeight="false" outlineLevel="0" collapsed="false">
      <c r="A36" s="20"/>
      <c r="B36" s="20"/>
      <c r="C36" s="20"/>
      <c r="D36" s="20"/>
      <c r="E36" s="20"/>
      <c r="F36" s="15" t="s">
        <v>35</v>
      </c>
      <c r="G36" s="15"/>
      <c r="H36" s="15"/>
      <c r="I36" s="21"/>
    </row>
    <row r="37" customFormat="false" ht="15" hidden="false" customHeight="false" outlineLevel="0" collapsed="false">
      <c r="A37" s="20"/>
      <c r="B37" s="20"/>
      <c r="C37" s="20"/>
      <c r="D37" s="20"/>
      <c r="E37" s="20"/>
      <c r="F37" s="15" t="s">
        <v>36</v>
      </c>
      <c r="G37" s="15"/>
      <c r="H37" s="15"/>
      <c r="I37" s="22" t="str">
        <f aca="false">IF(OR(N(I36)=0,I35=""),"",I35/I36)</f>
        <v/>
      </c>
    </row>
    <row r="39" customFormat="false" ht="15.75" hidden="false" customHeight="true" outlineLevel="0" collapsed="false">
      <c r="A39" s="7" t="s">
        <v>37</v>
      </c>
      <c r="B39" s="7"/>
      <c r="C39" s="7"/>
      <c r="D39" s="7"/>
      <c r="E39" s="7"/>
      <c r="F39" s="7"/>
      <c r="G39" s="7"/>
      <c r="H39" s="7"/>
      <c r="I39" s="7"/>
    </row>
    <row r="40" customFormat="false" ht="21.75" hidden="false" customHeight="true" outlineLevel="0" collapsed="false">
      <c r="A40" s="8" t="s">
        <v>16</v>
      </c>
      <c r="B40" s="8" t="s">
        <v>38</v>
      </c>
      <c r="C40" s="8"/>
      <c r="D40" s="8"/>
      <c r="E40" s="8"/>
      <c r="F40" s="8"/>
      <c r="G40" s="8"/>
      <c r="H40" s="8" t="s">
        <v>39</v>
      </c>
      <c r="I40" s="8" t="s">
        <v>40</v>
      </c>
    </row>
    <row r="41" customFormat="false" ht="16.5" hidden="false" customHeight="true" outlineLevel="0" collapsed="false">
      <c r="A41" s="9" t="n">
        <v>1</v>
      </c>
      <c r="B41" s="23"/>
      <c r="C41" s="23"/>
      <c r="D41" s="23"/>
      <c r="E41" s="23"/>
      <c r="F41" s="23"/>
      <c r="G41" s="23"/>
      <c r="H41" s="24"/>
      <c r="I41" s="10"/>
    </row>
    <row r="42" customFormat="false" ht="16.5" hidden="false" customHeight="true" outlineLevel="0" collapsed="false">
      <c r="A42" s="9" t="n">
        <v>2</v>
      </c>
      <c r="B42" s="23"/>
      <c r="C42" s="23"/>
      <c r="D42" s="23"/>
      <c r="E42" s="23"/>
      <c r="F42" s="23"/>
      <c r="G42" s="23"/>
      <c r="H42" s="24"/>
      <c r="I42" s="10"/>
    </row>
    <row r="43" customFormat="false" ht="16.5" hidden="false" customHeight="true" outlineLevel="0" collapsed="false">
      <c r="A43" s="9" t="n">
        <v>3</v>
      </c>
      <c r="B43" s="23"/>
      <c r="C43" s="23"/>
      <c r="D43" s="23"/>
      <c r="E43" s="23"/>
      <c r="F43" s="23"/>
      <c r="G43" s="23"/>
      <c r="H43" s="24"/>
      <c r="I43" s="10"/>
    </row>
    <row r="44" customFormat="false" ht="16.5" hidden="false" customHeight="true" outlineLevel="0" collapsed="false">
      <c r="A44" s="9" t="n">
        <v>4</v>
      </c>
      <c r="B44" s="23"/>
      <c r="C44" s="23"/>
      <c r="D44" s="23"/>
      <c r="E44" s="23"/>
      <c r="F44" s="23"/>
      <c r="G44" s="23"/>
      <c r="H44" s="24"/>
      <c r="I44" s="10"/>
    </row>
    <row r="45" customFormat="false" ht="16.5" hidden="false" customHeight="true" outlineLevel="0" collapsed="false">
      <c r="A45" s="9" t="n">
        <v>5</v>
      </c>
      <c r="B45" s="23"/>
      <c r="C45" s="23"/>
      <c r="D45" s="23"/>
      <c r="E45" s="23"/>
      <c r="F45" s="23"/>
      <c r="G45" s="23"/>
      <c r="H45" s="24"/>
      <c r="I45" s="10"/>
    </row>
    <row r="46" customFormat="false" ht="16.5" hidden="false" customHeight="true" outlineLevel="0" collapsed="false">
      <c r="A46" s="9" t="n">
        <v>6</v>
      </c>
      <c r="B46" s="23"/>
      <c r="C46" s="23"/>
      <c r="D46" s="23"/>
      <c r="E46" s="23"/>
      <c r="F46" s="23"/>
      <c r="G46" s="23"/>
      <c r="H46" s="24"/>
      <c r="I46" s="10"/>
    </row>
    <row r="47" customFormat="false" ht="16.5" hidden="false" customHeight="true" outlineLevel="0" collapsed="false">
      <c r="A47" s="9" t="n">
        <v>7</v>
      </c>
      <c r="B47" s="23"/>
      <c r="C47" s="23"/>
      <c r="D47" s="23"/>
      <c r="E47" s="23"/>
      <c r="F47" s="23"/>
      <c r="G47" s="23"/>
      <c r="H47" s="24"/>
      <c r="I47" s="10"/>
    </row>
    <row r="48" customFormat="false" ht="16.5" hidden="false" customHeight="true" outlineLevel="0" collapsed="false">
      <c r="A48" s="9" t="n">
        <v>8</v>
      </c>
      <c r="B48" s="23"/>
      <c r="C48" s="23"/>
      <c r="D48" s="23"/>
      <c r="E48" s="23"/>
      <c r="F48" s="23"/>
      <c r="G48" s="23"/>
      <c r="H48" s="24"/>
      <c r="I48" s="10"/>
    </row>
    <row r="49" customFormat="false" ht="16.5" hidden="false" customHeight="true" outlineLevel="0" collapsed="false">
      <c r="A49" s="9" t="n">
        <v>9</v>
      </c>
      <c r="B49" s="23"/>
      <c r="C49" s="23"/>
      <c r="D49" s="23"/>
      <c r="E49" s="23"/>
      <c r="F49" s="23"/>
      <c r="G49" s="23"/>
      <c r="H49" s="24"/>
      <c r="I49" s="10"/>
    </row>
    <row r="50" customFormat="false" ht="16.5" hidden="false" customHeight="true" outlineLevel="0" collapsed="false">
      <c r="A50" s="9" t="n">
        <v>10</v>
      </c>
      <c r="B50" s="23"/>
      <c r="C50" s="23"/>
      <c r="D50" s="23"/>
      <c r="E50" s="23"/>
      <c r="F50" s="23"/>
      <c r="G50" s="23"/>
      <c r="H50" s="24"/>
      <c r="I50" s="10"/>
    </row>
    <row r="51" customFormat="false" ht="16.5" hidden="false" customHeight="true" outlineLevel="0" collapsed="false">
      <c r="A51" s="9" t="n">
        <v>11</v>
      </c>
      <c r="B51" s="23"/>
      <c r="C51" s="23"/>
      <c r="D51" s="23"/>
      <c r="E51" s="23"/>
      <c r="F51" s="23"/>
      <c r="G51" s="23"/>
      <c r="H51" s="24"/>
      <c r="I51" s="10"/>
    </row>
    <row r="52" customFormat="false" ht="16.5" hidden="false" customHeight="true" outlineLevel="0" collapsed="false">
      <c r="A52" s="9" t="n">
        <v>12</v>
      </c>
      <c r="B52" s="23"/>
      <c r="C52" s="23"/>
      <c r="D52" s="23"/>
      <c r="E52" s="23"/>
      <c r="F52" s="23"/>
      <c r="G52" s="23"/>
      <c r="H52" s="24"/>
      <c r="I52" s="10"/>
    </row>
    <row r="54" customFormat="false" ht="15.75" hidden="false" customHeight="true" outlineLevel="0" collapsed="false">
      <c r="A54" s="7" t="s">
        <v>41</v>
      </c>
      <c r="B54" s="7"/>
      <c r="C54" s="7"/>
      <c r="D54" s="7"/>
      <c r="E54" s="7"/>
      <c r="F54" s="7"/>
      <c r="G54" s="7"/>
      <c r="H54" s="7"/>
      <c r="I54" s="7"/>
    </row>
    <row r="55" customFormat="false" ht="15.75" hidden="false" customHeight="true" outlineLevel="0" collapsed="false">
      <c r="A55" s="25"/>
      <c r="B55" s="25"/>
      <c r="C55" s="25"/>
      <c r="D55" s="25"/>
      <c r="E55" s="25"/>
      <c r="F55" s="25"/>
      <c r="G55" s="25"/>
      <c r="H55" s="25"/>
      <c r="I55" s="25"/>
    </row>
    <row r="56" customFormat="false" ht="15.75" hidden="false" customHeight="true" outlineLevel="0" collapsed="false">
      <c r="A56" s="25"/>
      <c r="B56" s="25"/>
      <c r="C56" s="25"/>
      <c r="D56" s="25"/>
      <c r="E56" s="25"/>
      <c r="F56" s="25"/>
      <c r="G56" s="25"/>
      <c r="H56" s="25"/>
      <c r="I56" s="25"/>
    </row>
    <row r="57" customFormat="false" ht="15.75" hidden="false" customHeight="true" outlineLevel="0" collapsed="false">
      <c r="A57" s="25"/>
      <c r="B57" s="25"/>
      <c r="C57" s="25"/>
      <c r="D57" s="25"/>
      <c r="E57" s="25"/>
      <c r="F57" s="25"/>
      <c r="G57" s="25"/>
      <c r="H57" s="25"/>
      <c r="I57" s="25"/>
    </row>
  </sheetData>
  <mergeCells count="49">
    <mergeCell ref="A1:I1"/>
    <mergeCell ref="A2:I2"/>
    <mergeCell ref="A4:B4"/>
    <mergeCell ref="C4:F4"/>
    <mergeCell ref="G4:H4"/>
    <mergeCell ref="A5:B5"/>
    <mergeCell ref="C5:F5"/>
    <mergeCell ref="G5:H5"/>
    <mergeCell ref="A6:B6"/>
    <mergeCell ref="C6:F6"/>
    <mergeCell ref="G6:H6"/>
    <mergeCell ref="A7:B7"/>
    <mergeCell ref="C7:F7"/>
    <mergeCell ref="G7:H7"/>
    <mergeCell ref="A8:B8"/>
    <mergeCell ref="C8:F8"/>
    <mergeCell ref="G8:H8"/>
    <mergeCell ref="A9:B9"/>
    <mergeCell ref="C9:F9"/>
    <mergeCell ref="G9:H9"/>
    <mergeCell ref="A11:I11"/>
    <mergeCell ref="A31:E31"/>
    <mergeCell ref="F31:H31"/>
    <mergeCell ref="A32:E32"/>
    <mergeCell ref="F32:H32"/>
    <mergeCell ref="A33:E33"/>
    <mergeCell ref="F33:H33"/>
    <mergeCell ref="A34:E34"/>
    <mergeCell ref="F34:H34"/>
    <mergeCell ref="A35:E37"/>
    <mergeCell ref="F35:H35"/>
    <mergeCell ref="F36:H36"/>
    <mergeCell ref="F37:H37"/>
    <mergeCell ref="A39:I39"/>
    <mergeCell ref="B40:G40"/>
    <mergeCell ref="B41:G41"/>
    <mergeCell ref="B42:G42"/>
    <mergeCell ref="B43:G43"/>
    <mergeCell ref="B44:G44"/>
    <mergeCell ref="B45:G45"/>
    <mergeCell ref="B46:G46"/>
    <mergeCell ref="B47:G47"/>
    <mergeCell ref="B48:G48"/>
    <mergeCell ref="B49:G49"/>
    <mergeCell ref="B50:G50"/>
    <mergeCell ref="B51:G51"/>
    <mergeCell ref="B52:G52"/>
    <mergeCell ref="A54:I54"/>
    <mergeCell ref="A55:I57"/>
  </mergeCells>
  <dataValidations count="3">
    <dataValidation allowBlank="true" errorStyle="stop" operator="between" showDropDown="false" showErrorMessage="false" showInputMessage="false" sqref="D13:D30" type="list">
      <formula1>"lb,oz,g,cup,tbsp,tsp,qt,gal,ea,batch"</formula1>
      <formula2>0</formula2>
    </dataValidation>
    <dataValidation allowBlank="true" errorStyle="stop" operator="between" showDropDown="false" showErrorMessage="false" showInputMessage="false" sqref="H41:H52" type="list">
      <formula1>"Active,Passive"</formula1>
      <formula2>0</formula2>
    </dataValidation>
    <dataValidation allowBlank="true" errorStyle="stop" operator="between" showDropDown="false" showErrorMessage="false" showInputMessage="false" sqref="C9" type="list">
      <formula1>"Yes,No"</formula1>
      <formula2>0</formula2>
    </dataValidation>
  </dataValidations>
  <printOptions headings="false" gridLines="false" gridLinesSet="true" horizontalCentered="true" verticalCentered="false"/>
  <pageMargins left="0.75" right="0.75" top="0.6" bottom="0.6" header="0.511811023622047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&amp;L&amp;7 Cream cells = fill in. Cost = Qty x $/Unit / Yield%. g per cup/each: only for cup, tbsp, tsp, qt, gal or ea.&amp;R&amp;7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3"/>
    <col collapsed="false" customWidth="true" hidden="false" outlineLevel="0" max="4" min="3" style="0" width="7"/>
    <col collapsed="false" customWidth="true" hidden="false" outlineLevel="0" max="5" min="5" style="0" width="8"/>
    <col collapsed="false" customWidth="true" hidden="false" outlineLevel="0" max="6" min="6" style="0" width="15"/>
    <col collapsed="false" customWidth="true" hidden="false" outlineLevel="0" max="7" min="7" style="0" width="8"/>
    <col collapsed="false" customWidth="true" hidden="false" outlineLevel="0" max="8" min="8" style="0" width="7"/>
    <col collapsed="false" customWidth="true" hidden="false" outlineLevel="0" max="9" min="9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6.5" hidden="false" customHeight="true" outlineLevel="0" collapsed="false">
      <c r="A4" s="3" t="s">
        <v>2</v>
      </c>
      <c r="B4" s="3"/>
      <c r="C4" s="4" t="s">
        <v>42</v>
      </c>
      <c r="D4" s="4"/>
      <c r="E4" s="4"/>
      <c r="F4" s="4"/>
      <c r="G4" s="3" t="s">
        <v>3</v>
      </c>
      <c r="H4" s="3"/>
      <c r="I4" s="5" t="s">
        <v>43</v>
      </c>
    </row>
    <row r="5" customFormat="false" ht="16.5" hidden="false" customHeight="true" outlineLevel="0" collapsed="false">
      <c r="A5" s="3" t="s">
        <v>4</v>
      </c>
      <c r="B5" s="3"/>
      <c r="C5" s="5" t="s">
        <v>44</v>
      </c>
      <c r="D5" s="5"/>
      <c r="E5" s="5"/>
      <c r="F5" s="5"/>
      <c r="G5" s="3" t="s">
        <v>5</v>
      </c>
      <c r="H5" s="3"/>
      <c r="I5" s="5" t="s">
        <v>45</v>
      </c>
    </row>
    <row r="6" customFormat="false" ht="16.5" hidden="false" customHeight="true" outlineLevel="0" collapsed="false">
      <c r="A6" s="3" t="s">
        <v>6</v>
      </c>
      <c r="B6" s="3"/>
      <c r="C6" s="5" t="s">
        <v>46</v>
      </c>
      <c r="D6" s="5"/>
      <c r="E6" s="5"/>
      <c r="F6" s="5"/>
      <c r="G6" s="3" t="s">
        <v>7</v>
      </c>
      <c r="H6" s="3"/>
      <c r="I6" s="5" t="s">
        <v>47</v>
      </c>
    </row>
    <row r="7" customFormat="false" ht="16.5" hidden="false" customHeight="true" outlineLevel="0" collapsed="false">
      <c r="A7" s="3" t="s">
        <v>8</v>
      </c>
      <c r="B7" s="3"/>
      <c r="C7" s="5"/>
      <c r="D7" s="5"/>
      <c r="E7" s="5"/>
      <c r="F7" s="5"/>
      <c r="G7" s="3" t="s">
        <v>9</v>
      </c>
      <c r="H7" s="3"/>
      <c r="I7" s="5"/>
    </row>
    <row r="8" customFormat="false" ht="16.5" hidden="false" customHeight="true" outlineLevel="0" collapsed="false">
      <c r="A8" s="3" t="s">
        <v>10</v>
      </c>
      <c r="B8" s="3"/>
      <c r="C8" s="5" t="s">
        <v>48</v>
      </c>
      <c r="D8" s="5"/>
      <c r="E8" s="5"/>
      <c r="F8" s="5"/>
      <c r="G8" s="3" t="s">
        <v>11</v>
      </c>
      <c r="H8" s="3"/>
      <c r="I8" s="5"/>
    </row>
    <row r="9" customFormat="false" ht="16.5" hidden="false" customHeight="true" outlineLevel="0" collapsed="false">
      <c r="A9" s="3" t="s">
        <v>12</v>
      </c>
      <c r="B9" s="3"/>
      <c r="C9" s="5" t="s">
        <v>49</v>
      </c>
      <c r="D9" s="5"/>
      <c r="E9" s="5"/>
      <c r="F9" s="5"/>
      <c r="G9" s="3" t="s">
        <v>14</v>
      </c>
      <c r="H9" s="3"/>
      <c r="I9" s="6" t="n">
        <f aca="false">IF(SUM(I41:I52)=0,"",SUM(I41:I52))</f>
        <v>140</v>
      </c>
    </row>
    <row r="11" customFormat="false" ht="15.75" hidden="false" customHeight="true" outlineLevel="0" collapsed="false">
      <c r="A11" s="7" t="s">
        <v>15</v>
      </c>
      <c r="B11" s="7"/>
      <c r="C11" s="7"/>
      <c r="D11" s="7"/>
      <c r="E11" s="7"/>
      <c r="F11" s="7"/>
      <c r="G11" s="7"/>
      <c r="H11" s="7"/>
      <c r="I11" s="7"/>
    </row>
    <row r="12" customFormat="false" ht="24" hidden="false" customHeight="true" outlineLevel="0" collapsed="false">
      <c r="A12" s="8" t="s">
        <v>16</v>
      </c>
      <c r="B12" s="8" t="s">
        <v>17</v>
      </c>
      <c r="C12" s="8" t="s">
        <v>18</v>
      </c>
      <c r="D12" s="8" t="s">
        <v>19</v>
      </c>
      <c r="E12" s="8" t="s">
        <v>20</v>
      </c>
      <c r="F12" s="8" t="s">
        <v>21</v>
      </c>
      <c r="G12" s="8" t="s">
        <v>22</v>
      </c>
      <c r="H12" s="8" t="s">
        <v>23</v>
      </c>
      <c r="I12" s="8" t="s">
        <v>24</v>
      </c>
    </row>
    <row r="13" customFormat="false" ht="15.75" hidden="false" customHeight="true" outlineLevel="0" collapsed="false">
      <c r="A13" s="9" t="n">
        <v>1</v>
      </c>
      <c r="B13" s="5" t="s">
        <v>50</v>
      </c>
      <c r="C13" s="10" t="n">
        <v>40</v>
      </c>
      <c r="D13" s="10" t="s">
        <v>51</v>
      </c>
      <c r="E13" s="10"/>
      <c r="F13" s="5"/>
      <c r="G13" s="11"/>
      <c r="H13" s="12" t="n">
        <v>1</v>
      </c>
      <c r="I13" s="13" t="str">
        <f aca="false">IF(OR(C13="",G13=""),"",C13*G13/IF(H13="",1,H13))</f>
        <v/>
      </c>
    </row>
    <row r="14" customFormat="false" ht="15.75" hidden="false" customHeight="true" outlineLevel="0" collapsed="false">
      <c r="A14" s="9" t="n">
        <v>2</v>
      </c>
      <c r="B14" s="5" t="s">
        <v>52</v>
      </c>
      <c r="C14" s="10" t="n">
        <v>40</v>
      </c>
      <c r="D14" s="10" t="s">
        <v>51</v>
      </c>
      <c r="E14" s="10"/>
      <c r="F14" s="5"/>
      <c r="G14" s="11"/>
      <c r="H14" s="12" t="n">
        <v>1</v>
      </c>
      <c r="I14" s="13" t="str">
        <f aca="false">IF(OR(C14="",G14=""),"",C14*G14/IF(H14="",1,H14))</f>
        <v/>
      </c>
    </row>
    <row r="15" customFormat="false" ht="15.75" hidden="false" customHeight="true" outlineLevel="0" collapsed="false">
      <c r="A15" s="9" t="n">
        <v>3</v>
      </c>
      <c r="B15" s="5" t="s">
        <v>53</v>
      </c>
      <c r="C15" s="10" t="n">
        <v>40</v>
      </c>
      <c r="D15" s="10" t="s">
        <v>51</v>
      </c>
      <c r="E15" s="10"/>
      <c r="F15" s="5"/>
      <c r="G15" s="11"/>
      <c r="H15" s="12" t="n">
        <v>1</v>
      </c>
      <c r="I15" s="13" t="str">
        <f aca="false">IF(OR(C15="",G15=""),"",C15*G15/IF(H15="",1,H15))</f>
        <v/>
      </c>
    </row>
    <row r="16" customFormat="false" ht="15.75" hidden="false" customHeight="true" outlineLevel="0" collapsed="false">
      <c r="A16" s="9" t="n">
        <v>4</v>
      </c>
      <c r="B16" s="5" t="s">
        <v>54</v>
      </c>
      <c r="C16" s="10" t="n">
        <v>4</v>
      </c>
      <c r="D16" s="10" t="s">
        <v>55</v>
      </c>
      <c r="E16" s="10" t="n">
        <v>250</v>
      </c>
      <c r="F16" s="5" t="s">
        <v>56</v>
      </c>
      <c r="G16" s="11"/>
      <c r="H16" s="12" t="n">
        <v>1</v>
      </c>
      <c r="I16" s="13" t="str">
        <f aca="false">IF(OR(C16="",G16=""),"",C16*G16/IF(H16="",1,H16))</f>
        <v/>
      </c>
    </row>
    <row r="17" customFormat="false" ht="15.75" hidden="false" customHeight="true" outlineLevel="0" collapsed="false">
      <c r="A17" s="9" t="n">
        <v>5</v>
      </c>
      <c r="B17" s="5" t="s">
        <v>57</v>
      </c>
      <c r="C17" s="10" t="n">
        <v>20</v>
      </c>
      <c r="D17" s="10" t="s">
        <v>58</v>
      </c>
      <c r="E17" s="10" t="n">
        <v>100</v>
      </c>
      <c r="F17" s="5" t="s">
        <v>59</v>
      </c>
      <c r="G17" s="11"/>
      <c r="H17" s="12" t="n">
        <v>1</v>
      </c>
      <c r="I17" s="13" t="str">
        <f aca="false">IF(OR(C17="",G17=""),"",C17*G17/IF(H17="",1,H17))</f>
        <v/>
      </c>
    </row>
    <row r="18" customFormat="false" ht="15.75" hidden="false" customHeight="true" outlineLevel="0" collapsed="false">
      <c r="A18" s="9" t="n">
        <v>6</v>
      </c>
      <c r="B18" s="5" t="s">
        <v>60</v>
      </c>
      <c r="C18" s="10" t="n">
        <v>1</v>
      </c>
      <c r="D18" s="10" t="s">
        <v>55</v>
      </c>
      <c r="E18" s="10" t="n">
        <v>35</v>
      </c>
      <c r="F18" s="5" t="s">
        <v>61</v>
      </c>
      <c r="G18" s="11"/>
      <c r="H18" s="12" t="n">
        <v>1</v>
      </c>
      <c r="I18" s="13" t="str">
        <f aca="false">IF(OR(C18="",G18=""),"",C18*G18/IF(H18="",1,H18))</f>
        <v/>
      </c>
    </row>
    <row r="19" customFormat="false" ht="15.75" hidden="false" customHeight="true" outlineLevel="0" collapsed="false">
      <c r="A19" s="9" t="n">
        <v>7</v>
      </c>
      <c r="B19" s="5" t="s">
        <v>62</v>
      </c>
      <c r="C19" s="10" t="n">
        <v>1</v>
      </c>
      <c r="D19" s="10" t="s">
        <v>55</v>
      </c>
      <c r="E19" s="10" t="n">
        <v>40</v>
      </c>
      <c r="F19" s="5" t="s">
        <v>61</v>
      </c>
      <c r="G19" s="11"/>
      <c r="H19" s="12" t="n">
        <v>1</v>
      </c>
      <c r="I19" s="13" t="str">
        <f aca="false">IF(OR(C19="",G19=""),"",C19*G19/IF(H19="",1,H19))</f>
        <v/>
      </c>
    </row>
    <row r="20" customFormat="false" ht="15.75" hidden="false" customHeight="true" outlineLevel="0" collapsed="false">
      <c r="A20" s="9" t="n">
        <v>8</v>
      </c>
      <c r="B20" s="5" t="s">
        <v>63</v>
      </c>
      <c r="C20" s="10" t="n">
        <v>1</v>
      </c>
      <c r="D20" s="10" t="s">
        <v>55</v>
      </c>
      <c r="E20" s="10" t="n">
        <v>60</v>
      </c>
      <c r="F20" s="5" t="s">
        <v>61</v>
      </c>
      <c r="G20" s="11"/>
      <c r="H20" s="12" t="n">
        <v>1</v>
      </c>
      <c r="I20" s="13" t="str">
        <f aca="false">IF(OR(C20="",G20=""),"",C20*G20/IF(H20="",1,H20))</f>
        <v/>
      </c>
    </row>
    <row r="21" customFormat="false" ht="15.75" hidden="false" customHeight="true" outlineLevel="0" collapsed="false">
      <c r="A21" s="9" t="n">
        <v>9</v>
      </c>
      <c r="B21" s="5" t="s">
        <v>64</v>
      </c>
      <c r="C21" s="10" t="n">
        <v>1</v>
      </c>
      <c r="D21" s="10" t="s">
        <v>55</v>
      </c>
      <c r="E21" s="10" t="n">
        <v>40</v>
      </c>
      <c r="F21" s="5" t="s">
        <v>61</v>
      </c>
      <c r="G21" s="11"/>
      <c r="H21" s="12" t="n">
        <v>1</v>
      </c>
      <c r="I21" s="13" t="str">
        <f aca="false">IF(OR(C21="",G21=""),"",C21*G21/IF(H21="",1,H21))</f>
        <v/>
      </c>
    </row>
    <row r="22" customFormat="false" ht="15.75" hidden="false" customHeight="true" outlineLevel="0" collapsed="false">
      <c r="A22" s="9" t="n">
        <v>10</v>
      </c>
      <c r="B22" s="5" t="s">
        <v>65</v>
      </c>
      <c r="C22" s="10" t="n">
        <v>2</v>
      </c>
      <c r="D22" s="10" t="s">
        <v>55</v>
      </c>
      <c r="E22" s="10" t="n">
        <v>290</v>
      </c>
      <c r="F22" s="5"/>
      <c r="G22" s="11"/>
      <c r="H22" s="12" t="n">
        <v>1</v>
      </c>
      <c r="I22" s="13" t="str">
        <f aca="false">IF(OR(C22="",G22=""),"",C22*G22/IF(H22="",1,H22))</f>
        <v/>
      </c>
    </row>
    <row r="23" customFormat="false" ht="15.75" hidden="false" customHeight="true" outlineLevel="0" collapsed="false">
      <c r="A23" s="9" t="n">
        <v>11</v>
      </c>
      <c r="B23" s="5" t="s">
        <v>66</v>
      </c>
      <c r="C23" s="10" t="n">
        <v>1</v>
      </c>
      <c r="D23" s="10" t="s">
        <v>55</v>
      </c>
      <c r="E23" s="10" t="n">
        <v>50</v>
      </c>
      <c r="F23" s="5" t="s">
        <v>61</v>
      </c>
      <c r="G23" s="11"/>
      <c r="H23" s="12" t="n">
        <v>1</v>
      </c>
      <c r="I23" s="13" t="str">
        <f aca="false">IF(OR(C23="",G23=""),"",C23*G23/IF(H23="",1,H23))</f>
        <v/>
      </c>
    </row>
    <row r="24" customFormat="false" ht="15.75" hidden="false" customHeight="true" outlineLevel="0" collapsed="false">
      <c r="A24" s="9" t="n">
        <v>12</v>
      </c>
      <c r="B24" s="5"/>
      <c r="C24" s="10"/>
      <c r="D24" s="10"/>
      <c r="E24" s="10"/>
      <c r="F24" s="5"/>
      <c r="G24" s="11"/>
      <c r="H24" s="12"/>
      <c r="I24" s="13" t="str">
        <f aca="false">IF(OR(C24="",G24=""),"",C24*G24/IF(H24="",1,H24))</f>
        <v/>
      </c>
    </row>
    <row r="25" customFormat="false" ht="15.75" hidden="false" customHeight="true" outlineLevel="0" collapsed="false">
      <c r="A25" s="9" t="n">
        <v>13</v>
      </c>
      <c r="B25" s="5"/>
      <c r="C25" s="10"/>
      <c r="D25" s="10"/>
      <c r="E25" s="10"/>
      <c r="F25" s="5"/>
      <c r="G25" s="11"/>
      <c r="H25" s="12"/>
      <c r="I25" s="13" t="str">
        <f aca="false">IF(OR(C25="",G25=""),"",C25*G25/IF(H25="",1,H25))</f>
        <v/>
      </c>
    </row>
    <row r="26" customFormat="false" ht="15.75" hidden="false" customHeight="true" outlineLevel="0" collapsed="false">
      <c r="A26" s="9" t="n">
        <v>14</v>
      </c>
      <c r="B26" s="5"/>
      <c r="C26" s="10"/>
      <c r="D26" s="10"/>
      <c r="E26" s="10"/>
      <c r="F26" s="5"/>
      <c r="G26" s="11"/>
      <c r="H26" s="12"/>
      <c r="I26" s="13" t="str">
        <f aca="false">IF(OR(C26="",G26=""),"",C26*G26/IF(H26="",1,H26))</f>
        <v/>
      </c>
    </row>
    <row r="27" customFormat="false" ht="15.75" hidden="false" customHeight="true" outlineLevel="0" collapsed="false">
      <c r="A27" s="9" t="n">
        <v>15</v>
      </c>
      <c r="B27" s="5"/>
      <c r="C27" s="10"/>
      <c r="D27" s="10"/>
      <c r="E27" s="10"/>
      <c r="F27" s="5"/>
      <c r="G27" s="11"/>
      <c r="H27" s="12"/>
      <c r="I27" s="13" t="str">
        <f aca="false">IF(OR(C27="",G27=""),"",C27*G27/IF(H27="",1,H27))</f>
        <v/>
      </c>
    </row>
    <row r="28" customFormat="false" ht="15.75" hidden="false" customHeight="true" outlineLevel="0" collapsed="false">
      <c r="A28" s="9" t="n">
        <v>16</v>
      </c>
      <c r="B28" s="5"/>
      <c r="C28" s="10"/>
      <c r="D28" s="10"/>
      <c r="E28" s="10"/>
      <c r="F28" s="5"/>
      <c r="G28" s="11"/>
      <c r="H28" s="12"/>
      <c r="I28" s="13" t="str">
        <f aca="false">IF(OR(C28="",G28=""),"",C28*G28/IF(H28="",1,H28))</f>
        <v/>
      </c>
    </row>
    <row r="29" customFormat="false" ht="15.75" hidden="false" customHeight="true" outlineLevel="0" collapsed="false">
      <c r="A29" s="9" t="n">
        <v>17</v>
      </c>
      <c r="B29" s="5"/>
      <c r="C29" s="10"/>
      <c r="D29" s="10"/>
      <c r="E29" s="10"/>
      <c r="F29" s="5"/>
      <c r="G29" s="11"/>
      <c r="H29" s="12"/>
      <c r="I29" s="13" t="str">
        <f aca="false">IF(OR(C29="",G29=""),"",C29*G29/IF(H29="",1,H29))</f>
        <v/>
      </c>
    </row>
    <row r="30" customFormat="false" ht="15.75" hidden="false" customHeight="true" outlineLevel="0" collapsed="false">
      <c r="A30" s="9" t="n">
        <v>18</v>
      </c>
      <c r="B30" s="5"/>
      <c r="C30" s="10"/>
      <c r="D30" s="10"/>
      <c r="E30" s="10"/>
      <c r="F30" s="5"/>
      <c r="G30" s="11"/>
      <c r="H30" s="12"/>
      <c r="I30" s="13" t="str">
        <f aca="false">IF(OR(C30="",G30=""),"",C30*G30/IF(H30="",1,H30))</f>
        <v/>
      </c>
    </row>
    <row r="31" customFormat="false" ht="15" hidden="false" customHeight="false" outlineLevel="0" collapsed="false">
      <c r="A31" s="14" t="s">
        <v>25</v>
      </c>
      <c r="B31" s="14"/>
      <c r="C31" s="14"/>
      <c r="D31" s="14"/>
      <c r="E31" s="14"/>
      <c r="F31" s="15" t="s">
        <v>26</v>
      </c>
      <c r="G31" s="15"/>
      <c r="H31" s="15"/>
      <c r="I31" s="16" t="n">
        <f aca="false">SUM(I13:I30)</f>
        <v>0</v>
      </c>
    </row>
    <row r="32" customFormat="false" ht="15" hidden="false" customHeight="false" outlineLevel="0" collapsed="false">
      <c r="A32" s="17" t="s">
        <v>67</v>
      </c>
      <c r="B32" s="17"/>
      <c r="C32" s="17"/>
      <c r="D32" s="17"/>
      <c r="E32" s="17"/>
      <c r="F32" s="15" t="s">
        <v>28</v>
      </c>
      <c r="G32" s="15"/>
      <c r="H32" s="15"/>
      <c r="I32" s="18" t="n">
        <v>0.05</v>
      </c>
    </row>
    <row r="33" customFormat="false" ht="15" hidden="false" customHeight="false" outlineLevel="0" collapsed="false">
      <c r="A33" s="17" t="s">
        <v>29</v>
      </c>
      <c r="B33" s="17"/>
      <c r="C33" s="17"/>
      <c r="D33" s="17"/>
      <c r="E33" s="17"/>
      <c r="F33" s="15" t="s">
        <v>30</v>
      </c>
      <c r="G33" s="15"/>
      <c r="H33" s="15"/>
      <c r="I33" s="16" t="n">
        <f aca="false">I31*(1+I32)</f>
        <v>0</v>
      </c>
    </row>
    <row r="34" customFormat="false" ht="15" hidden="false" customHeight="false" outlineLevel="0" collapsed="false">
      <c r="A34" s="17" t="s">
        <v>31</v>
      </c>
      <c r="B34" s="17"/>
      <c r="C34" s="17"/>
      <c r="D34" s="17"/>
      <c r="E34" s="17"/>
      <c r="F34" s="15" t="s">
        <v>32</v>
      </c>
      <c r="G34" s="15"/>
      <c r="H34" s="15"/>
      <c r="I34" s="19"/>
    </row>
    <row r="35" customFormat="false" ht="15" hidden="false" customHeight="true" outlineLevel="0" collapsed="false">
      <c r="A35" s="20" t="s">
        <v>68</v>
      </c>
      <c r="B35" s="20"/>
      <c r="C35" s="20"/>
      <c r="D35" s="20"/>
      <c r="E35" s="20"/>
      <c r="F35" s="15" t="s">
        <v>34</v>
      </c>
      <c r="G35" s="15"/>
      <c r="H35" s="15"/>
      <c r="I35" s="16" t="str">
        <f aca="false">IF(N(I34)=0,"",I33/I34)</f>
        <v/>
      </c>
    </row>
    <row r="36" customFormat="false" ht="15" hidden="false" customHeight="false" outlineLevel="0" collapsed="false">
      <c r="A36" s="20"/>
      <c r="B36" s="20"/>
      <c r="C36" s="20"/>
      <c r="D36" s="20"/>
      <c r="E36" s="20"/>
      <c r="F36" s="15" t="s">
        <v>35</v>
      </c>
      <c r="G36" s="15"/>
      <c r="H36" s="15"/>
      <c r="I36" s="21"/>
    </row>
    <row r="37" customFormat="false" ht="15" hidden="false" customHeight="false" outlineLevel="0" collapsed="false">
      <c r="A37" s="20"/>
      <c r="B37" s="20"/>
      <c r="C37" s="20"/>
      <c r="D37" s="20"/>
      <c r="E37" s="20"/>
      <c r="F37" s="15" t="s">
        <v>36</v>
      </c>
      <c r="G37" s="15"/>
      <c r="H37" s="15"/>
      <c r="I37" s="22" t="str">
        <f aca="false">IF(OR(N(I36)=0,I35=""),"",I35/I36)</f>
        <v/>
      </c>
    </row>
    <row r="39" customFormat="false" ht="15.75" hidden="false" customHeight="true" outlineLevel="0" collapsed="false">
      <c r="A39" s="7" t="s">
        <v>37</v>
      </c>
      <c r="B39" s="7"/>
      <c r="C39" s="7"/>
      <c r="D39" s="7"/>
      <c r="E39" s="7"/>
      <c r="F39" s="7"/>
      <c r="G39" s="7"/>
      <c r="H39" s="7"/>
      <c r="I39" s="7"/>
    </row>
    <row r="40" customFormat="false" ht="21.75" hidden="false" customHeight="true" outlineLevel="0" collapsed="false">
      <c r="A40" s="8" t="s">
        <v>16</v>
      </c>
      <c r="B40" s="8" t="s">
        <v>38</v>
      </c>
      <c r="C40" s="8"/>
      <c r="D40" s="8"/>
      <c r="E40" s="8"/>
      <c r="F40" s="8"/>
      <c r="G40" s="8"/>
      <c r="H40" s="8" t="s">
        <v>39</v>
      </c>
      <c r="I40" s="8" t="s">
        <v>40</v>
      </c>
    </row>
    <row r="41" customFormat="false" ht="16.5" hidden="false" customHeight="true" outlineLevel="0" collapsed="false">
      <c r="A41" s="9" t="n">
        <v>1</v>
      </c>
      <c r="B41" s="23" t="s">
        <v>69</v>
      </c>
      <c r="C41" s="23"/>
      <c r="D41" s="23"/>
      <c r="E41" s="23"/>
      <c r="F41" s="23"/>
      <c r="G41" s="23"/>
      <c r="H41" s="24" t="s">
        <v>70</v>
      </c>
      <c r="I41" s="10" t="n">
        <v>5</v>
      </c>
    </row>
    <row r="42" customFormat="false" ht="16.5" hidden="false" customHeight="true" outlineLevel="0" collapsed="false">
      <c r="A42" s="9" t="n">
        <v>2</v>
      </c>
      <c r="B42" s="23" t="s">
        <v>71</v>
      </c>
      <c r="C42" s="23"/>
      <c r="D42" s="23"/>
      <c r="E42" s="23"/>
      <c r="F42" s="23"/>
      <c r="G42" s="23"/>
      <c r="H42" s="24" t="s">
        <v>72</v>
      </c>
      <c r="I42" s="10" t="n">
        <v>45</v>
      </c>
    </row>
    <row r="43" customFormat="false" ht="16.5" hidden="false" customHeight="true" outlineLevel="0" collapsed="false">
      <c r="A43" s="9" t="n">
        <v>3</v>
      </c>
      <c r="B43" s="23" t="s">
        <v>73</v>
      </c>
      <c r="C43" s="23"/>
      <c r="D43" s="23"/>
      <c r="E43" s="23"/>
      <c r="F43" s="23"/>
      <c r="G43" s="23"/>
      <c r="H43" s="24" t="s">
        <v>70</v>
      </c>
      <c r="I43" s="10" t="n">
        <v>10</v>
      </c>
    </row>
    <row r="44" customFormat="false" ht="16.5" hidden="false" customHeight="true" outlineLevel="0" collapsed="false">
      <c r="A44" s="9" t="n">
        <v>4</v>
      </c>
      <c r="B44" s="23" t="s">
        <v>74</v>
      </c>
      <c r="C44" s="23"/>
      <c r="D44" s="23"/>
      <c r="E44" s="23"/>
      <c r="F44" s="23"/>
      <c r="G44" s="23"/>
      <c r="H44" s="24" t="s">
        <v>70</v>
      </c>
      <c r="I44" s="10" t="n">
        <v>10</v>
      </c>
    </row>
    <row r="45" customFormat="false" ht="16.5" hidden="false" customHeight="true" outlineLevel="0" collapsed="false">
      <c r="A45" s="9" t="n">
        <v>5</v>
      </c>
      <c r="B45" s="23" t="s">
        <v>75</v>
      </c>
      <c r="C45" s="23"/>
      <c r="D45" s="23"/>
      <c r="E45" s="23"/>
      <c r="F45" s="23"/>
      <c r="G45" s="23"/>
      <c r="H45" s="24" t="s">
        <v>70</v>
      </c>
      <c r="I45" s="10" t="n">
        <v>3</v>
      </c>
    </row>
    <row r="46" customFormat="false" ht="16.5" hidden="false" customHeight="true" outlineLevel="0" collapsed="false">
      <c r="A46" s="9" t="n">
        <v>6</v>
      </c>
      <c r="B46" s="23" t="s">
        <v>76</v>
      </c>
      <c r="C46" s="23"/>
      <c r="D46" s="23"/>
      <c r="E46" s="23"/>
      <c r="F46" s="23"/>
      <c r="G46" s="23"/>
      <c r="H46" s="24" t="s">
        <v>70</v>
      </c>
      <c r="I46" s="10" t="n">
        <v>2</v>
      </c>
    </row>
    <row r="47" customFormat="false" ht="16.5" hidden="false" customHeight="true" outlineLevel="0" collapsed="false">
      <c r="A47" s="9" t="n">
        <v>7</v>
      </c>
      <c r="B47" s="23" t="s">
        <v>77</v>
      </c>
      <c r="C47" s="23"/>
      <c r="D47" s="23"/>
      <c r="E47" s="23"/>
      <c r="F47" s="23"/>
      <c r="G47" s="23"/>
      <c r="H47" s="24" t="s">
        <v>70</v>
      </c>
      <c r="I47" s="10" t="n">
        <v>3</v>
      </c>
    </row>
    <row r="48" customFormat="false" ht="16.5" hidden="false" customHeight="true" outlineLevel="0" collapsed="false">
      <c r="A48" s="9" t="n">
        <v>8</v>
      </c>
      <c r="B48" s="23" t="s">
        <v>78</v>
      </c>
      <c r="C48" s="23"/>
      <c r="D48" s="23"/>
      <c r="E48" s="23"/>
      <c r="F48" s="23"/>
      <c r="G48" s="23"/>
      <c r="H48" s="24" t="s">
        <v>72</v>
      </c>
      <c r="I48" s="10" t="n">
        <v>60</v>
      </c>
    </row>
    <row r="49" customFormat="false" ht="16.5" hidden="false" customHeight="true" outlineLevel="0" collapsed="false">
      <c r="A49" s="9" t="n">
        <v>9</v>
      </c>
      <c r="B49" s="23" t="s">
        <v>79</v>
      </c>
      <c r="C49" s="23"/>
      <c r="D49" s="23"/>
      <c r="E49" s="23"/>
      <c r="F49" s="23"/>
      <c r="G49" s="23"/>
      <c r="H49" s="24" t="s">
        <v>70</v>
      </c>
      <c r="I49" s="10" t="n">
        <v>2</v>
      </c>
    </row>
    <row r="50" customFormat="false" ht="16.5" hidden="false" customHeight="true" outlineLevel="0" collapsed="false">
      <c r="A50" s="9" t="n">
        <v>10</v>
      </c>
      <c r="B50" s="23"/>
      <c r="C50" s="23"/>
      <c r="D50" s="23"/>
      <c r="E50" s="23"/>
      <c r="F50" s="23"/>
      <c r="G50" s="23"/>
      <c r="H50" s="24"/>
      <c r="I50" s="10"/>
    </row>
    <row r="51" customFormat="false" ht="16.5" hidden="false" customHeight="true" outlineLevel="0" collapsed="false">
      <c r="A51" s="9" t="n">
        <v>11</v>
      </c>
      <c r="B51" s="23"/>
      <c r="C51" s="23"/>
      <c r="D51" s="23"/>
      <c r="E51" s="23"/>
      <c r="F51" s="23"/>
      <c r="G51" s="23"/>
      <c r="H51" s="24"/>
      <c r="I51" s="10"/>
    </row>
    <row r="52" customFormat="false" ht="16.5" hidden="false" customHeight="true" outlineLevel="0" collapsed="false">
      <c r="A52" s="9" t="n">
        <v>12</v>
      </c>
      <c r="B52" s="23"/>
      <c r="C52" s="23"/>
      <c r="D52" s="23"/>
      <c r="E52" s="23"/>
      <c r="F52" s="23"/>
      <c r="G52" s="23"/>
      <c r="H52" s="24"/>
      <c r="I52" s="10"/>
    </row>
    <row r="54" customFormat="false" ht="15.75" hidden="false" customHeight="true" outlineLevel="0" collapsed="false">
      <c r="A54" s="7" t="s">
        <v>41</v>
      </c>
      <c r="B54" s="7"/>
      <c r="C54" s="7"/>
      <c r="D54" s="7"/>
      <c r="E54" s="7"/>
      <c r="F54" s="7"/>
      <c r="G54" s="7"/>
      <c r="H54" s="7"/>
      <c r="I54" s="7"/>
    </row>
    <row r="55" customFormat="false" ht="15.75" hidden="false" customHeight="true" outlineLevel="0" collapsed="false">
      <c r="A55" s="25" t="s">
        <v>80</v>
      </c>
      <c r="B55" s="25"/>
      <c r="C55" s="25"/>
      <c r="D55" s="25"/>
      <c r="E55" s="25"/>
      <c r="F55" s="25"/>
      <c r="G55" s="25"/>
      <c r="H55" s="25"/>
      <c r="I55" s="25"/>
    </row>
    <row r="56" customFormat="false" ht="15.75" hidden="false" customHeight="true" outlineLevel="0" collapsed="false">
      <c r="A56" s="25"/>
      <c r="B56" s="25"/>
      <c r="C56" s="25"/>
      <c r="D56" s="25"/>
      <c r="E56" s="25"/>
      <c r="F56" s="25"/>
      <c r="G56" s="25"/>
      <c r="H56" s="25"/>
      <c r="I56" s="25"/>
    </row>
    <row r="57" customFormat="false" ht="15.75" hidden="false" customHeight="true" outlineLevel="0" collapsed="false">
      <c r="A57" s="25"/>
      <c r="B57" s="25"/>
      <c r="C57" s="25"/>
      <c r="D57" s="25"/>
      <c r="E57" s="25"/>
      <c r="F57" s="25"/>
      <c r="G57" s="25"/>
      <c r="H57" s="25"/>
      <c r="I57" s="25"/>
    </row>
  </sheetData>
  <mergeCells count="49">
    <mergeCell ref="A1:I1"/>
    <mergeCell ref="A2:I2"/>
    <mergeCell ref="A4:B4"/>
    <mergeCell ref="C4:F4"/>
    <mergeCell ref="G4:H4"/>
    <mergeCell ref="A5:B5"/>
    <mergeCell ref="C5:F5"/>
    <mergeCell ref="G5:H5"/>
    <mergeCell ref="A6:B6"/>
    <mergeCell ref="C6:F6"/>
    <mergeCell ref="G6:H6"/>
    <mergeCell ref="A7:B7"/>
    <mergeCell ref="C7:F7"/>
    <mergeCell ref="G7:H7"/>
    <mergeCell ref="A8:B8"/>
    <mergeCell ref="C8:F8"/>
    <mergeCell ref="G8:H8"/>
    <mergeCell ref="A9:B9"/>
    <mergeCell ref="C9:F9"/>
    <mergeCell ref="G9:H9"/>
    <mergeCell ref="A11:I11"/>
    <mergeCell ref="A31:E31"/>
    <mergeCell ref="F31:H31"/>
    <mergeCell ref="A32:E32"/>
    <mergeCell ref="F32:H32"/>
    <mergeCell ref="A33:E33"/>
    <mergeCell ref="F33:H33"/>
    <mergeCell ref="A34:E34"/>
    <mergeCell ref="F34:H34"/>
    <mergeCell ref="A35:E37"/>
    <mergeCell ref="F35:H35"/>
    <mergeCell ref="F36:H36"/>
    <mergeCell ref="F37:H37"/>
    <mergeCell ref="A39:I39"/>
    <mergeCell ref="B40:G40"/>
    <mergeCell ref="B41:G41"/>
    <mergeCell ref="B42:G42"/>
    <mergeCell ref="B43:G43"/>
    <mergeCell ref="B44:G44"/>
    <mergeCell ref="B45:G45"/>
    <mergeCell ref="B46:G46"/>
    <mergeCell ref="B47:G47"/>
    <mergeCell ref="B48:G48"/>
    <mergeCell ref="B49:G49"/>
    <mergeCell ref="B50:G50"/>
    <mergeCell ref="B51:G51"/>
    <mergeCell ref="B52:G52"/>
    <mergeCell ref="A54:I54"/>
    <mergeCell ref="A55:I57"/>
  </mergeCells>
  <dataValidations count="3">
    <dataValidation allowBlank="true" errorStyle="stop" operator="between" showDropDown="false" showErrorMessage="false" showInputMessage="false" sqref="D13:D30" type="list">
      <formula1>"lb,oz,g,cup,tbsp,tsp,qt,gal,ea,batch"</formula1>
      <formula2>0</formula2>
    </dataValidation>
    <dataValidation allowBlank="true" errorStyle="stop" operator="between" showDropDown="false" showErrorMessage="false" showInputMessage="false" sqref="H41:H52" type="list">
      <formula1>"Active,Passive"</formula1>
      <formula2>0</formula2>
    </dataValidation>
    <dataValidation allowBlank="true" errorStyle="stop" operator="between" showDropDown="false" showErrorMessage="false" showInputMessage="false" sqref="C9" type="list">
      <formula1>"Yes,No"</formula1>
      <formula2>0</formula2>
    </dataValidation>
  </dataValidations>
  <printOptions headings="false" gridLines="false" gridLinesSet="true" horizontalCentered="true" verticalCentered="false"/>
  <pageMargins left="0.75" right="0.75" top="0.6" bottom="0.6" header="0.511811023622047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&amp;L&amp;7 Cream cells = fill in. Cost = Qty x $/Unit / Yield%. g per cup/each: only for cup, tbsp, tsp, qt, gal or ea.&amp;R&amp;7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2026-10-22T02:08:34Z</dcterms:created>
  <dc:creator>openpyxl</dc:creator>
  <dc:description/>
  <dc:language>en-US</dc:language>
  <cp:lastModifiedBy/>
  <dcterms:modified xsi:type="dcterms:W3CDTF">2026-10-22T02:08:35Z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